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de\Downloads\"/>
    </mc:Choice>
  </mc:AlternateContent>
  <xr:revisionPtr revIDLastSave="0" documentId="13_ncr:1_{0D103C09-ECB3-4005-BB3C-21259276059E}" xr6:coauthVersionLast="47" xr6:coauthVersionMax="47" xr10:uidLastSave="{00000000-0000-0000-0000-000000000000}"/>
  <bookViews>
    <workbookView xWindow="-108" yWindow="-108" windowWidth="23256" windowHeight="12576" xr2:uid="{198B1658-A589-438F-8272-72A595440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E6" i="1"/>
  <c r="F6" i="1"/>
  <c r="G6" i="1"/>
  <c r="H6" i="1"/>
  <c r="I6" i="1"/>
  <c r="J6" i="1"/>
  <c r="C6" i="1"/>
  <c r="K6" i="1" l="1"/>
  <c r="C7" i="1" s="1"/>
  <c r="C8" i="1" l="1"/>
  <c r="D7" i="1"/>
  <c r="G7" i="1"/>
  <c r="G8" i="1" s="1"/>
  <c r="J7" i="1"/>
  <c r="J8" i="1" s="1"/>
  <c r="E7" i="1"/>
  <c r="E8" i="1" s="1"/>
  <c r="H7" i="1"/>
  <c r="H8" i="1" s="1"/>
  <c r="F7" i="1"/>
  <c r="I7" i="1"/>
  <c r="I8" i="1" s="1"/>
  <c r="K7" i="1" l="1"/>
  <c r="K8" i="1" s="1"/>
  <c r="F8" i="1" s="1"/>
  <c r="D8" i="1" l="1"/>
</calcChain>
</file>

<file path=xl/sharedStrings.xml><?xml version="1.0" encoding="utf-8"?>
<sst xmlns="http://schemas.openxmlformats.org/spreadsheetml/2006/main" count="10" uniqueCount="10">
  <si>
    <t>TİP</t>
  </si>
  <si>
    <t>CHP</t>
  </si>
  <si>
    <t>CGP</t>
  </si>
  <si>
    <t>AP</t>
  </si>
  <si>
    <t>DP</t>
  </si>
  <si>
    <t>MSP</t>
  </si>
  <si>
    <t>MHP</t>
  </si>
  <si>
    <t>Diğer</t>
  </si>
  <si>
    <t>Oy</t>
  </si>
  <si>
    <t>Vekil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</si>
</sst>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6031D"/>
        <bgColor indexed="64"/>
      </patternFill>
    </fill>
    <fill>
      <patternFill patternType="solid">
        <fgColor rgb="FFEC3337"/>
        <bgColor indexed="64"/>
      </patternFill>
    </fill>
    <fill>
      <patternFill patternType="solid">
        <fgColor rgb="FF61269B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9C198"/>
        <bgColor indexed="64"/>
      </patternFill>
    </fill>
    <fill>
      <patternFill patternType="solid">
        <fgColor rgb="FF045421"/>
        <bgColor indexed="64"/>
      </patternFill>
    </fill>
    <fill>
      <patternFill patternType="solid">
        <fgColor rgb="FF954B00"/>
        <bgColor indexed="64"/>
      </patternFill>
    </fill>
    <fill>
      <patternFill patternType="solid">
        <fgColor rgb="FF91313A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3" fillId="0" borderId="10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1313A"/>
      <color rgb="FF954B00"/>
      <color rgb="FF045421"/>
      <color rgb="FFE9C198"/>
      <color rgb="FFDDDDDD"/>
      <color rgb="FF61269B"/>
      <color rgb="FFEC3337"/>
      <color rgb="FFB603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A53B-5916-4B71-8B3F-AFE1F92F2553}">
  <dimension ref="B3:K8"/>
  <sheetViews>
    <sheetView tabSelected="1" workbookViewId="0">
      <selection activeCell="G18" sqref="G18"/>
    </sheetView>
  </sheetViews>
  <sheetFormatPr defaultRowHeight="14.4" x14ac:dyDescent="0.3"/>
  <sheetData>
    <row r="3" spans="2:11" ht="15" thickBot="1" x14ac:dyDescent="0.35"/>
    <row r="4" spans="2:11" ht="15" thickBot="1" x14ac:dyDescent="0.35">
      <c r="B4" s="11"/>
      <c r="C4" s="15" t="s">
        <v>0</v>
      </c>
      <c r="D4" s="16" t="s">
        <v>1</v>
      </c>
      <c r="E4" s="17" t="s">
        <v>2</v>
      </c>
      <c r="F4" s="18" t="s">
        <v>3</v>
      </c>
      <c r="G4" s="13" t="s">
        <v>7</v>
      </c>
      <c r="H4" s="14" t="s">
        <v>4</v>
      </c>
      <c r="I4" s="19" t="s">
        <v>5</v>
      </c>
      <c r="J4" s="20" t="s">
        <v>6</v>
      </c>
    </row>
    <row r="5" spans="2:11" x14ac:dyDescent="0.3">
      <c r="B5" s="12" t="s">
        <v>8</v>
      </c>
      <c r="C5" s="8">
        <v>0.5</v>
      </c>
      <c r="D5" s="9">
        <v>41.4</v>
      </c>
      <c r="E5" s="9">
        <v>1.9</v>
      </c>
      <c r="F5" s="9">
        <v>36.9</v>
      </c>
      <c r="G5" s="9">
        <v>2.9</v>
      </c>
      <c r="H5" s="9">
        <v>1.9</v>
      </c>
      <c r="I5" s="9">
        <v>8.6</v>
      </c>
      <c r="J5" s="10">
        <v>6.4</v>
      </c>
    </row>
    <row r="6" spans="2:11" hidden="1" x14ac:dyDescent="0.3">
      <c r="B6" s="12"/>
      <c r="C6" s="6">
        <f>IF(OR(C5=5,C5&lt;5),C5*0.5,IF(OR(C5=15,AND(5&lt;C5,C5&lt;15)),C5*1.15,IF(OR(C5=27,AND(15&lt;C5,C5&lt;27)),C5*1.25,IF(OR(C5=32,AND(27&lt;C5,C5&lt;32)),C5*1.5,IF(OR(C5=40,AND(32&lt;C5,C5&lt;40)),C5*1.8,C5*1.9)))))</f>
        <v>0.25</v>
      </c>
      <c r="D6" s="6">
        <f t="shared" ref="D6:J6" si="0">IF(OR(D5=5,D5&lt;5),D5*0.5,IF(OR(D5=15,AND(5&lt;D5,D5&lt;15)),D5*1.15,IF(OR(D5=27,AND(15&lt;D5,D5&lt;27)),D5*1.25,IF(OR(D5=32,AND(27&lt;D5,D5&lt;32)),D5*1.5,IF(OR(D5=40,AND(32&lt;D5,D5&lt;40)),D5*1.8,D5*1.9)))))</f>
        <v>78.66</v>
      </c>
      <c r="E6" s="6">
        <f t="shared" si="0"/>
        <v>0.95</v>
      </c>
      <c r="F6" s="6">
        <f t="shared" si="0"/>
        <v>66.42</v>
      </c>
      <c r="G6" s="6">
        <f t="shared" si="0"/>
        <v>1.45</v>
      </c>
      <c r="H6" s="6">
        <f t="shared" si="0"/>
        <v>0.95</v>
      </c>
      <c r="I6" s="6">
        <f t="shared" si="0"/>
        <v>9.8899999999999988</v>
      </c>
      <c r="J6" s="6">
        <f t="shared" si="0"/>
        <v>7.3599999999999994</v>
      </c>
      <c r="K6" s="1">
        <f>SUM(C6:J6)</f>
        <v>165.92999999999995</v>
      </c>
    </row>
    <row r="7" spans="2:11" hidden="1" x14ac:dyDescent="0.3">
      <c r="B7" s="12"/>
      <c r="C7" s="6">
        <f>ROUNDDOWN(C6/$K$6*450,0)</f>
        <v>0</v>
      </c>
      <c r="D7" s="2">
        <f t="shared" ref="D7:J7" si="1">ROUNDDOWN(D6/$K$6*450,0)</f>
        <v>213</v>
      </c>
      <c r="E7" s="2">
        <f t="shared" si="1"/>
        <v>2</v>
      </c>
      <c r="F7" s="2">
        <f t="shared" si="1"/>
        <v>180</v>
      </c>
      <c r="G7" s="2">
        <f t="shared" si="1"/>
        <v>3</v>
      </c>
      <c r="H7" s="2">
        <f t="shared" si="1"/>
        <v>2</v>
      </c>
      <c r="I7" s="2">
        <f t="shared" si="1"/>
        <v>26</v>
      </c>
      <c r="J7" s="3">
        <f t="shared" si="1"/>
        <v>19</v>
      </c>
      <c r="K7" s="1">
        <f>SUM(C7:J7)</f>
        <v>445</v>
      </c>
    </row>
    <row r="8" spans="2:11" ht="15" thickBot="1" x14ac:dyDescent="0.35">
      <c r="B8" s="21" t="s">
        <v>9</v>
      </c>
      <c r="C8" s="7">
        <f>C7</f>
        <v>0</v>
      </c>
      <c r="D8" s="4">
        <f>IF(K8&lt;0,D7+K8,D7)</f>
        <v>213</v>
      </c>
      <c r="E8" s="4">
        <f t="shared" ref="E8:J8" si="2">E7</f>
        <v>2</v>
      </c>
      <c r="F8" s="4">
        <f>IF(K8&gt;0,F7+K8,F7)</f>
        <v>185</v>
      </c>
      <c r="G8" s="4">
        <f t="shared" si="2"/>
        <v>3</v>
      </c>
      <c r="H8" s="4">
        <f t="shared" si="2"/>
        <v>2</v>
      </c>
      <c r="I8" s="4">
        <f t="shared" si="2"/>
        <v>26</v>
      </c>
      <c r="J8" s="5">
        <f t="shared" si="2"/>
        <v>19</v>
      </c>
      <c r="K8" s="1">
        <f>450-K7</f>
        <v>5</v>
      </c>
    </row>
  </sheetData>
  <pageMargins left="0.7" right="0.7" top="0.75" bottom="0.75" header="0.3" footer="0.3"/>
  <pageSetup paperSize="9" orientation="portrait" r:id="rId1"/>
  <ignoredErrors>
    <ignoredError sqref="D8 F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Treaty</dc:creator>
  <cp:lastModifiedBy>Will Treaty</cp:lastModifiedBy>
  <dcterms:created xsi:type="dcterms:W3CDTF">2026-07-09T20:25:20Z</dcterms:created>
  <dcterms:modified xsi:type="dcterms:W3CDTF">2026-07-09T22:30:40Z</dcterms:modified>
</cp:coreProperties>
</file>